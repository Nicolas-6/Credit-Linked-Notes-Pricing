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kema-my.sharepoint.com/personal/nicolas_awlime_skema_edu/Documents/Documents/"/>
    </mc:Choice>
  </mc:AlternateContent>
  <xr:revisionPtr revIDLastSave="368" documentId="8_{F340DFDB-D8B9-46EF-92E0-B0C7DB762555}" xr6:coauthVersionLast="47" xr6:coauthVersionMax="47" xr10:uidLastSave="{262F40D5-B072-41D1-B9FD-868110AA7EAD}"/>
  <bookViews>
    <workbookView xWindow="-120" yWindow="-120" windowWidth="29040" windowHeight="15720" xr2:uid="{6DC3EDB7-E2EA-4259-88F0-04EC189ED324}"/>
  </bookViews>
  <sheets>
    <sheet name="Pricing Bond" sheetId="2" r:id="rId1"/>
    <sheet name="Boostrapping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2" l="1"/>
  <c r="J5" i="3"/>
  <c r="B5" i="3" s="1"/>
  <c r="J6" i="3"/>
  <c r="B6" i="3" s="1"/>
  <c r="J7" i="3"/>
  <c r="B7" i="3" s="1"/>
  <c r="J8" i="3"/>
  <c r="B8" i="3" s="1"/>
  <c r="J9" i="3"/>
  <c r="B9" i="3" s="1"/>
  <c r="J10" i="3"/>
  <c r="B10" i="3" s="1"/>
  <c r="J11" i="3"/>
  <c r="B11" i="3" s="1"/>
  <c r="J12" i="3"/>
  <c r="B12" i="3" s="1"/>
  <c r="J13" i="3"/>
  <c r="B13" i="3" s="1"/>
  <c r="J4" i="3"/>
  <c r="B4" i="3" s="1"/>
  <c r="C29" i="2"/>
  <c r="C26" i="2"/>
  <c r="C24" i="2"/>
  <c r="C23" i="2"/>
  <c r="C22" i="2"/>
  <c r="C21" i="2"/>
  <c r="C20" i="2"/>
  <c r="C19" i="2"/>
  <c r="C18" i="2"/>
  <c r="F18" i="2"/>
  <c r="F19" i="2"/>
  <c r="F20" i="2"/>
  <c r="F21" i="2"/>
  <c r="F22" i="2"/>
  <c r="F23" i="2"/>
  <c r="F24" i="2"/>
  <c r="F25" i="2"/>
  <c r="F26" i="2"/>
  <c r="F27" i="2"/>
  <c r="F28" i="2"/>
  <c r="F29" i="2"/>
  <c r="O10" i="2" a="1"/>
  <c r="B18" i="2" l="1"/>
  <c r="A18" i="2" s="1"/>
  <c r="B26" i="2"/>
  <c r="A26" i="2" s="1"/>
  <c r="B24" i="2"/>
  <c r="A24" i="2" s="1"/>
  <c r="B19" i="2"/>
  <c r="A19" i="2" s="1"/>
  <c r="B27" i="2"/>
  <c r="A27" i="2" s="1"/>
  <c r="B20" i="2"/>
  <c r="A20" i="2" s="1"/>
  <c r="B28" i="2"/>
  <c r="A28" i="2" s="1"/>
  <c r="B25" i="2"/>
  <c r="A25" i="2" s="1"/>
  <c r="B21" i="2"/>
  <c r="A21" i="2" s="1"/>
  <c r="B29" i="2"/>
  <c r="A29" i="2" s="1"/>
  <c r="B22" i="2"/>
  <c r="A22" i="2" s="1"/>
  <c r="B23" i="2"/>
  <c r="A23" i="2" s="1"/>
  <c r="O10" i="2"/>
  <c r="C11" i="2"/>
  <c r="C4" i="2"/>
  <c r="D4" i="3"/>
  <c r="C4" i="3"/>
  <c r="D5" i="3" s="1"/>
  <c r="F11" i="2"/>
  <c r="F12" i="2"/>
  <c r="F13" i="2"/>
  <c r="F14" i="2"/>
  <c r="F15" i="2"/>
  <c r="F16" i="2"/>
  <c r="F17" i="2"/>
  <c r="C12" i="2"/>
  <c r="C13" i="2"/>
  <c r="C14" i="2"/>
  <c r="C15" i="2"/>
  <c r="C16" i="2"/>
  <c r="C10" i="2"/>
  <c r="F10" i="2"/>
  <c r="D18" i="2" l="1"/>
  <c r="D26" i="2"/>
  <c r="D22" i="2"/>
  <c r="D19" i="2"/>
  <c r="D27" i="2"/>
  <c r="D20" i="2"/>
  <c r="D28" i="2"/>
  <c r="D21" i="2"/>
  <c r="D29" i="2"/>
  <c r="E29" i="2" s="1"/>
  <c r="D23" i="2"/>
  <c r="D24" i="2"/>
  <c r="D25" i="2"/>
  <c r="E5" i="3"/>
  <c r="I14" i="2"/>
  <c r="I15" i="2"/>
  <c r="E4" i="3"/>
  <c r="I13" i="2"/>
  <c r="B17" i="2"/>
  <c r="A17" i="2" s="1"/>
  <c r="I17" i="2" s="1"/>
  <c r="B11" i="2"/>
  <c r="B16" i="2"/>
  <c r="A16" i="2" s="1"/>
  <c r="I16" i="2" s="1"/>
  <c r="B12" i="2"/>
  <c r="B13" i="2"/>
  <c r="A13" i="2" s="1"/>
  <c r="B14" i="2"/>
  <c r="A14" i="2" s="1"/>
  <c r="B15" i="2"/>
  <c r="A15" i="2" s="1"/>
  <c r="B10" i="2"/>
  <c r="A10" i="2" s="1"/>
  <c r="I10" i="2" s="1"/>
  <c r="J10" i="2" s="1"/>
  <c r="C5" i="3"/>
  <c r="D6" i="3" s="1"/>
  <c r="D11" i="2" l="1"/>
  <c r="E11" i="2" s="1"/>
  <c r="A11" i="2"/>
  <c r="I11" i="2" s="1"/>
  <c r="J11" i="2" s="1"/>
  <c r="D12" i="2"/>
  <c r="A12" i="2"/>
  <c r="I12" i="2" s="1"/>
  <c r="J12" i="2" s="1"/>
  <c r="G21" i="2"/>
  <c r="H21" i="2" s="1"/>
  <c r="E20" i="2"/>
  <c r="G28" i="2"/>
  <c r="H28" i="2" s="1"/>
  <c r="E27" i="2"/>
  <c r="G29" i="2"/>
  <c r="H29" i="2" s="1"/>
  <c r="E28" i="2"/>
  <c r="G26" i="2"/>
  <c r="H26" i="2" s="1"/>
  <c r="E25" i="2"/>
  <c r="G20" i="2"/>
  <c r="H20" i="2" s="1"/>
  <c r="E19" i="2"/>
  <c r="G23" i="2"/>
  <c r="H23" i="2" s="1"/>
  <c r="E22" i="2"/>
  <c r="E21" i="2"/>
  <c r="G22" i="2"/>
  <c r="H22" i="2" s="1"/>
  <c r="E23" i="2"/>
  <c r="G24" i="2"/>
  <c r="H24" i="2" s="1"/>
  <c r="E26" i="2"/>
  <c r="G27" i="2"/>
  <c r="H27" i="2" s="1"/>
  <c r="E24" i="2"/>
  <c r="G25" i="2"/>
  <c r="H25" i="2" s="1"/>
  <c r="E18" i="2"/>
  <c r="G19" i="2"/>
  <c r="H19" i="2" s="1"/>
  <c r="J15" i="2"/>
  <c r="J14" i="2"/>
  <c r="J13" i="2"/>
  <c r="J16" i="2"/>
  <c r="E6" i="3"/>
  <c r="I19" i="2"/>
  <c r="J19" i="2" s="1"/>
  <c r="I18" i="2"/>
  <c r="J18" i="2" s="1"/>
  <c r="I20" i="2"/>
  <c r="J20" i="2" s="1"/>
  <c r="I21" i="2"/>
  <c r="J21" i="2" s="1"/>
  <c r="K21" i="2" s="1"/>
  <c r="D16" i="2"/>
  <c r="E16" i="2" s="1"/>
  <c r="D13" i="2"/>
  <c r="E13" i="2" s="1"/>
  <c r="D15" i="2"/>
  <c r="E15" i="2" s="1"/>
  <c r="D10" i="2"/>
  <c r="G11" i="2" s="1"/>
  <c r="H11" i="2" s="1"/>
  <c r="D14" i="2"/>
  <c r="E14" i="2" s="1"/>
  <c r="E12" i="2"/>
  <c r="G12" i="2"/>
  <c r="H12" i="2" s="1"/>
  <c r="C6" i="3"/>
  <c r="D7" i="3" s="1"/>
  <c r="K20" i="2" l="1"/>
  <c r="K11" i="2"/>
  <c r="K19" i="2"/>
  <c r="E7" i="3"/>
  <c r="C7" i="3" s="1"/>
  <c r="D8" i="3" s="1"/>
  <c r="I22" i="2"/>
  <c r="J22" i="2" s="1"/>
  <c r="K22" i="2" s="1"/>
  <c r="I23" i="2"/>
  <c r="J23" i="2" s="1"/>
  <c r="K23" i="2" s="1"/>
  <c r="I24" i="2"/>
  <c r="J24" i="2" s="1"/>
  <c r="K24" i="2" s="1"/>
  <c r="I25" i="2"/>
  <c r="J25" i="2" s="1"/>
  <c r="K25" i="2" s="1"/>
  <c r="G16" i="2"/>
  <c r="H16" i="2" s="1"/>
  <c r="K16" i="2" s="1"/>
  <c r="G13" i="2"/>
  <c r="H13" i="2" s="1"/>
  <c r="K13" i="2" s="1"/>
  <c r="G10" i="2"/>
  <c r="E10" i="2"/>
  <c r="G15" i="2"/>
  <c r="H15" i="2" s="1"/>
  <c r="K15" i="2" s="1"/>
  <c r="G14" i="2"/>
  <c r="H14" i="2" s="1"/>
  <c r="K14" i="2" s="1"/>
  <c r="K12" i="2"/>
  <c r="E8" i="3" l="1"/>
  <c r="C8" i="3" s="1"/>
  <c r="D9" i="3" s="1"/>
  <c r="E9" i="3" s="1"/>
  <c r="I29" i="2"/>
  <c r="J29" i="2" s="1"/>
  <c r="K29" i="2" s="1"/>
  <c r="I27" i="2"/>
  <c r="J27" i="2" s="1"/>
  <c r="K27" i="2" s="1"/>
  <c r="I26" i="2"/>
  <c r="J26" i="2" s="1"/>
  <c r="K26" i="2" s="1"/>
  <c r="I28" i="2"/>
  <c r="J28" i="2" s="1"/>
  <c r="K28" i="2" s="1"/>
  <c r="K10" i="2"/>
  <c r="J17" i="2"/>
  <c r="C9" i="3" l="1"/>
  <c r="D10" i="3" s="1"/>
  <c r="E10" i="3" s="1"/>
  <c r="C10" i="3" s="1"/>
  <c r="D11" i="3" s="1"/>
  <c r="E11" i="3" s="1"/>
  <c r="C11" i="3" s="1"/>
  <c r="D12" i="3" s="1"/>
  <c r="E12" i="3" s="1"/>
  <c r="C12" i="3" s="1"/>
  <c r="D13" i="3" s="1"/>
  <c r="E13" i="3" s="1"/>
  <c r="D17" i="2"/>
  <c r="E17" i="2" l="1"/>
  <c r="G18" i="2"/>
  <c r="H18" i="2" s="1"/>
  <c r="K18" i="2" s="1"/>
  <c r="C13" i="3"/>
  <c r="G17" i="2"/>
  <c r="H17" i="2" s="1"/>
  <c r="K17" i="2" s="1"/>
  <c r="L2" i="2" l="1"/>
  <c r="L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<sst xmlns="http://schemas.openxmlformats.org/spreadsheetml/2006/main" count="33" uniqueCount="30">
  <si>
    <t>bps</t>
  </si>
  <si>
    <t>PD</t>
  </si>
  <si>
    <t>Survival Probability</t>
  </si>
  <si>
    <t>CDS</t>
  </si>
  <si>
    <t>RR</t>
  </si>
  <si>
    <t>Bond Cash Flow</t>
  </si>
  <si>
    <t>Step</t>
  </si>
  <si>
    <t>Coupon</t>
  </si>
  <si>
    <t>Freq</t>
  </si>
  <si>
    <t>CF (no default)</t>
  </si>
  <si>
    <t>CF (default)</t>
  </si>
  <si>
    <t>Expect CF no default</t>
  </si>
  <si>
    <t>Expected CF (default)</t>
  </si>
  <si>
    <t>Bond Value</t>
  </si>
  <si>
    <t>CF Value</t>
  </si>
  <si>
    <t>Swap rate</t>
  </si>
  <si>
    <t>Maturity</t>
  </si>
  <si>
    <t>Annuity</t>
  </si>
  <si>
    <t>ZC</t>
  </si>
  <si>
    <t>DF</t>
  </si>
  <si>
    <t>Shift</t>
  </si>
  <si>
    <t>ZC Rates</t>
  </si>
  <si>
    <t>Years</t>
  </si>
  <si>
    <t>Swap EUR</t>
  </si>
  <si>
    <t>Swap + Shift</t>
  </si>
  <si>
    <t xml:space="preserve">CLN </t>
  </si>
  <si>
    <t>CDS Refinitiv Page</t>
  </si>
  <si>
    <t>AirFrance</t>
  </si>
  <si>
    <t xml:space="preserve">Upfront </t>
  </si>
  <si>
    <t>Curve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</si>
</sst>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2"/>
      <color theme="0"/>
      <name val="Century Gothic"/>
      <family val="2"/>
    </font>
    <font>
      <b/>
      <sz val="16"/>
      <color rgb="FFC0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9" fontId="3" fillId="0" borderId="0" xfId="1" applyFont="1"/>
    <xf numFmtId="165" fontId="3" fillId="0" borderId="0" xfId="0" applyNumberFormat="1" applyFont="1"/>
    <xf numFmtId="0" fontId="3" fillId="0" borderId="0" xfId="0" applyFont="1" applyAlignment="1">
      <alignment vertical="center" wrapText="1"/>
    </xf>
    <xf numFmtId="164" fontId="6" fillId="0" borderId="0" xfId="1" applyNumberFormat="1" applyFont="1"/>
    <xf numFmtId="9" fontId="4" fillId="0" borderId="0" xfId="1" applyFont="1"/>
    <xf numFmtId="10" fontId="4" fillId="0" borderId="0" xfId="1" applyNumberFormat="1" applyFont="1"/>
    <xf numFmtId="0" fontId="4" fillId="0" borderId="0" xfId="0" applyFont="1" applyAlignment="1">
      <alignment horizontal="center"/>
    </xf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12"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numFmt numFmtId="165" formatCode="0.000%"/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entury Gothic"/>
        <family val="2"/>
        <scheme val="none"/>
      </font>
      <fill>
        <patternFill patternType="solid">
          <fgColor indexed="64"/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0</xdr:rowOff>
    </xdr:from>
    <xdr:to>
      <xdr:col>28</xdr:col>
      <xdr:colOff>287530</xdr:colOff>
      <xdr:row>26</xdr:row>
      <xdr:rowOff>80109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6EC8B7-CACB-0CF0-3D47-E718F413A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16250" y="190500"/>
          <a:ext cx="6697010" cy="5544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15829B-F4CB-44F1-8B49-4239A31DB538}" name="Table1" displayName="Table1" ref="B9:K29" totalsRowShown="0" headerRowDxfId="11" dataDxfId="10">
  <autoFilter ref="B9:K29" xr:uid="{AF15829B-F4CB-44F1-8B49-4239A31DB538}"/>
  <tableColumns count="10">
    <tableColumn id="1" xr3:uid="{879B8FFD-68F0-4795-96EA-2D5DA2CA5EF2}" name="Step" dataDxfId="9">
      <calculatedColumnFormula>O10</calculatedColumnFormula>
    </tableColumn>
    <tableColumn id="2" xr3:uid="{14EFC85C-4D84-4998-99B7-4A6B6B223435}" name="CF (no default)" dataDxfId="8" dataCellStyle="Percent"/>
    <tableColumn id="3" xr3:uid="{572310CF-3B56-4C53-A443-2A73BA66139A}" name="Survival Probability" dataDxfId="7">
      <calculatedColumnFormula>(1-$C$4)^(B10)</calculatedColumnFormula>
    </tableColumn>
    <tableColumn id="4" xr3:uid="{6E774509-4DB7-4C35-8134-38D7BBA8A88A}" name="Expect CF no default" dataDxfId="6">
      <calculatedColumnFormula>C10*D10</calculatedColumnFormula>
    </tableColumn>
    <tableColumn id="5" xr3:uid="{313656EE-8F31-46AA-92CD-18D53C35629C}" name="CF (default)" dataDxfId="5">
      <calculatedColumnFormula>$C$3</calculatedColumnFormula>
    </tableColumn>
    <tableColumn id="6" xr3:uid="{FE1CC18E-2C9C-41E1-9847-88EDE42656E2}" name="PD" dataDxfId="4">
      <calculatedColumnFormula>D9-D10</calculatedColumnFormula>
    </tableColumn>
    <tableColumn id="7" xr3:uid="{A9CAE15D-446A-425A-A9C9-B430635416A5}" name="Expected CF (default)" dataDxfId="3">
      <calculatedColumnFormula>G10*F10</calculatedColumnFormula>
    </tableColumn>
    <tableColumn id="8" xr3:uid="{920E340C-B1DD-4B2A-A7D4-E15D25386DBF}" name="ZC Rates" dataDxfId="2">
      <calculatedColumnFormula>VLOOKUP(A10,Boostrapping!A:E,4,0)</calculatedColumnFormula>
    </tableColumn>
    <tableColumn id="9" xr3:uid="{9063B647-5782-4CB4-92AC-84059941BC69}" name="DF" dataDxfId="1">
      <calculatedColumnFormula>1/((1+I10/$H$3)^(B10))</calculatedColumnFormula>
    </tableColumn>
    <tableColumn id="10" xr3:uid="{1FC3C113-36C9-4997-96B8-E141513F652A}" name="CF Value" dataDxfId="0">
      <calculatedColumnFormula>J10*(E10+H10)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B9F7D-D37D-4841-B1F9-96B1B6B8B3F3}">
  <sheetPr codeName="Sheet2"/>
  <dimension ref="A1:T34"/>
  <sheetViews>
    <sheetView tabSelected="1" topLeftCell="B1" zoomScale="79" workbookViewId="0">
      <selection activeCell="F10" sqref="F10"/>
    </sheetView>
  </sheetViews>
  <sheetFormatPr defaultRowHeight="17.25" x14ac:dyDescent="0.3"/>
  <cols>
    <col min="1" max="1" width="7.42578125" style="5" hidden="1" customWidth="1"/>
    <col min="2" max="2" width="20.42578125" style="5" bestFit="1" customWidth="1"/>
    <col min="3" max="3" width="22" style="5" bestFit="1" customWidth="1"/>
    <col min="4" max="4" width="26.5703125" style="5" bestFit="1" customWidth="1"/>
    <col min="5" max="5" width="29.140625" style="5" bestFit="1" customWidth="1"/>
    <col min="6" max="6" width="18" style="5" bestFit="1" customWidth="1"/>
    <col min="7" max="7" width="15.5703125" style="5" bestFit="1" customWidth="1"/>
    <col min="8" max="8" width="30" style="5" bestFit="1" customWidth="1"/>
    <col min="9" max="9" width="14.28515625" style="5" bestFit="1" customWidth="1"/>
    <col min="10" max="10" width="15.5703125" style="5" bestFit="1" customWidth="1"/>
    <col min="11" max="11" width="19" style="5" bestFit="1" customWidth="1"/>
    <col min="12" max="12" width="12.42578125" style="5" bestFit="1" customWidth="1"/>
    <col min="13" max="14" width="9.140625" style="5"/>
    <col min="15" max="15" width="3.85546875" style="5" hidden="1" customWidth="1"/>
    <col min="16" max="19" width="9.140625" style="5"/>
    <col min="20" max="20" width="23.140625" style="5" bestFit="1" customWidth="1"/>
    <col min="21" max="16384" width="9.140625" style="5"/>
  </cols>
  <sheetData>
    <row r="1" spans="1:20" ht="20.25" x14ac:dyDescent="0.3">
      <c r="B1" s="6" t="s">
        <v>16</v>
      </c>
      <c r="C1" s="6">
        <v>5</v>
      </c>
      <c r="D1" s="6"/>
      <c r="E1" s="6"/>
      <c r="F1" s="6"/>
      <c r="G1" s="6" t="s">
        <v>25</v>
      </c>
      <c r="H1" s="14" t="s">
        <v>27</v>
      </c>
      <c r="T1" s="6" t="s">
        <v>26</v>
      </c>
    </row>
    <row r="2" spans="1:20" ht="20.25" x14ac:dyDescent="0.3">
      <c r="B2" s="6" t="s">
        <v>3</v>
      </c>
      <c r="C2" s="6">
        <v>243.57</v>
      </c>
      <c r="D2" s="6" t="s">
        <v>0</v>
      </c>
      <c r="E2" s="6"/>
      <c r="F2" s="6"/>
      <c r="G2" s="6" t="s">
        <v>7</v>
      </c>
      <c r="H2" s="13">
        <v>4.4399999999999995E-2</v>
      </c>
      <c r="K2" s="6" t="s">
        <v>13</v>
      </c>
      <c r="L2" s="11">
        <f>SUM(K10:K10012)</f>
        <v>0.99973448977050405</v>
      </c>
    </row>
    <row r="3" spans="1:20" ht="20.25" x14ac:dyDescent="0.3">
      <c r="B3" s="6" t="s">
        <v>4</v>
      </c>
      <c r="C3" s="12">
        <v>0.4</v>
      </c>
      <c r="D3" s="6"/>
      <c r="E3" s="6"/>
      <c r="F3" s="6"/>
      <c r="G3" s="6" t="s">
        <v>8</v>
      </c>
      <c r="H3" s="6">
        <v>4</v>
      </c>
      <c r="K3" s="6" t="s">
        <v>28</v>
      </c>
      <c r="L3" s="11">
        <f>1-L2</f>
        <v>2.655102294959466E-4</v>
      </c>
    </row>
    <row r="4" spans="1:20" ht="20.25" x14ac:dyDescent="0.3">
      <c r="B4" s="6" t="s">
        <v>1</v>
      </c>
      <c r="C4" s="13">
        <f>C2/10000/(1-C3)/H3</f>
        <v>1.014875E-2</v>
      </c>
      <c r="D4" s="6"/>
      <c r="E4" s="6"/>
      <c r="F4" s="6"/>
      <c r="G4" s="6"/>
      <c r="H4" s="6"/>
    </row>
    <row r="7" spans="1:20" x14ac:dyDescent="0.3">
      <c r="B7" s="4" t="s">
        <v>5</v>
      </c>
    </row>
    <row r="9" spans="1:20" x14ac:dyDescent="0.3">
      <c r="A9" s="5" t="s">
        <v>22</v>
      </c>
      <c r="B9" s="7" t="s">
        <v>6</v>
      </c>
      <c r="C9" s="7" t="s">
        <v>9</v>
      </c>
      <c r="D9" s="7" t="s">
        <v>2</v>
      </c>
      <c r="E9" s="7" t="s">
        <v>11</v>
      </c>
      <c r="F9" s="7" t="s">
        <v>10</v>
      </c>
      <c r="G9" s="7" t="s">
        <v>1</v>
      </c>
      <c r="H9" s="7" t="s">
        <v>12</v>
      </c>
      <c r="I9" s="7" t="s">
        <v>21</v>
      </c>
      <c r="J9" s="7" t="s">
        <v>19</v>
      </c>
      <c r="K9" s="7" t="s">
        <v>14</v>
      </c>
    </row>
    <row r="10" spans="1:20" x14ac:dyDescent="0.3">
      <c r="A10" s="5">
        <f>ROUNDUP(Table1[[#This Row],[Step]]/4,0)</f>
        <v>1</v>
      </c>
      <c r="B10" s="5">
        <f t="shared" ref="B10:B29" si="0">O10</f>
        <v>1</v>
      </c>
      <c r="C10" s="8">
        <f>$H$2/$H$3</f>
        <v>1.1099999999999999E-2</v>
      </c>
      <c r="D10" s="5">
        <f>(1-$C$4)^(B10)</f>
        <v>0.98985124999999996</v>
      </c>
      <c r="E10" s="5">
        <f>C10*D10</f>
        <v>1.0987348874999999E-2</v>
      </c>
      <c r="F10" s="5">
        <f>$C$3</f>
        <v>0.4</v>
      </c>
      <c r="G10" s="5">
        <f>1-D10</f>
        <v>1.014875000000004E-2</v>
      </c>
      <c r="H10" s="5">
        <f>G10*F10</f>
        <v>4.0595000000000162E-3</v>
      </c>
      <c r="I10" s="9">
        <f>VLOOKUP(A10,Boostrapping!A:E,4,0)</f>
        <v>3.04E-2</v>
      </c>
      <c r="J10" s="5">
        <f>1/((1+I10/$H$3)^(B10))</f>
        <v>0.99245732433505351</v>
      </c>
      <c r="K10" s="5">
        <f>J10*(E10+H10)</f>
        <v>1.4933355374156425E-2</v>
      </c>
      <c r="O10" s="5" cm="1">
        <f t="array" ref="O10:O29">nbsteps(C1,H3)</f>
        <v>1</v>
      </c>
    </row>
    <row r="11" spans="1:20" x14ac:dyDescent="0.3">
      <c r="A11" s="5">
        <f>ROUNDUP(Table1[[#This Row],[Step]]/4,0)</f>
        <v>1</v>
      </c>
      <c r="B11" s="5">
        <f t="shared" si="0"/>
        <v>2</v>
      </c>
      <c r="C11" s="8">
        <f t="shared" ref="C11:C26" si="1">$H$2/$H$3</f>
        <v>1.1099999999999999E-2</v>
      </c>
      <c r="D11" s="5">
        <f t="shared" ref="D11:D17" si="2">(1-$C$4)^(B11)</f>
        <v>0.9798054971265624</v>
      </c>
      <c r="E11" s="5">
        <f t="shared" ref="E11:E17" si="3">C11*D11</f>
        <v>1.0875841018104841E-2</v>
      </c>
      <c r="F11" s="5">
        <f t="shared" ref="F11:F17" si="4">$C$3</f>
        <v>0.4</v>
      </c>
      <c r="G11" s="5">
        <f>D10-D11</f>
        <v>1.0045752873437563E-2</v>
      </c>
      <c r="H11" s="5">
        <f t="shared" ref="H11:H17" si="5">G11*F11</f>
        <v>4.0183011493750255E-3</v>
      </c>
      <c r="I11" s="9">
        <f>VLOOKUP(A11,Boostrapping!A:E,4,0)</f>
        <v>3.04E-2</v>
      </c>
      <c r="J11" s="5">
        <f t="shared" ref="J11:J16" si="6">1/((1+I11/$H$3)^(B11))</f>
        <v>0.98497154062629366</v>
      </c>
      <c r="K11" s="5">
        <f t="shared" ref="K11:K17" si="7">J11*(E11+H11)</f>
        <v>1.4670306157009688E-2</v>
      </c>
      <c r="O11" s="5">
        <v>2</v>
      </c>
    </row>
    <row r="12" spans="1:20" x14ac:dyDescent="0.3">
      <c r="A12" s="5">
        <f>ROUNDUP(Table1[[#This Row],[Step]]/4,0)</f>
        <v>1</v>
      </c>
      <c r="B12" s="5">
        <f t="shared" si="0"/>
        <v>3</v>
      </c>
      <c r="C12" s="8">
        <f t="shared" si="1"/>
        <v>1.1099999999999999E-2</v>
      </c>
      <c r="D12" s="5">
        <f t="shared" si="2"/>
        <v>0.9698616960875992</v>
      </c>
      <c r="E12" s="5">
        <f t="shared" si="3"/>
        <v>1.0765464826572349E-2</v>
      </c>
      <c r="F12" s="5">
        <f t="shared" si="4"/>
        <v>0.4</v>
      </c>
      <c r="G12" s="5">
        <f t="shared" ref="G12:G17" si="8">D11-D12</f>
        <v>9.9438010389631959E-3</v>
      </c>
      <c r="H12" s="5">
        <f t="shared" si="5"/>
        <v>3.9775204155852789E-3</v>
      </c>
      <c r="I12" s="9">
        <f>VLOOKUP(A12,Boostrapping!A:E,4,0)</f>
        <v>3.04E-2</v>
      </c>
      <c r="J12" s="5">
        <f t="shared" si="6"/>
        <v>0.97754221975614686</v>
      </c>
      <c r="K12" s="5">
        <f t="shared" si="7"/>
        <v>1.4411890519450882E-2</v>
      </c>
      <c r="O12" s="5">
        <v>3</v>
      </c>
    </row>
    <row r="13" spans="1:20" x14ac:dyDescent="0.3">
      <c r="A13" s="5">
        <f>ROUNDUP(Table1[[#This Row],[Step]]/4,0)</f>
        <v>1</v>
      </c>
      <c r="B13" s="5">
        <f t="shared" si="0"/>
        <v>4</v>
      </c>
      <c r="C13" s="8">
        <f t="shared" si="1"/>
        <v>1.1099999999999999E-2</v>
      </c>
      <c r="D13" s="5">
        <f t="shared" si="2"/>
        <v>0.96001881219943008</v>
      </c>
      <c r="E13" s="5">
        <f t="shared" si="3"/>
        <v>1.0656208815413673E-2</v>
      </c>
      <c r="F13" s="5">
        <f t="shared" si="4"/>
        <v>0.4</v>
      </c>
      <c r="G13" s="5">
        <f t="shared" si="8"/>
        <v>9.8428838881691183E-3</v>
      </c>
      <c r="H13" s="5">
        <f t="shared" si="5"/>
        <v>3.9371535552676475E-3</v>
      </c>
      <c r="I13" s="9">
        <f>VLOOKUP(A13,Boostrapping!A:E,4,0)</f>
        <v>3.04E-2</v>
      </c>
      <c r="J13" s="5">
        <f t="shared" si="6"/>
        <v>0.97016893584373443</v>
      </c>
      <c r="K13" s="5">
        <f t="shared" si="7"/>
        <v>1.4158026841545894E-2</v>
      </c>
      <c r="O13" s="5">
        <v>4</v>
      </c>
    </row>
    <row r="14" spans="1:20" x14ac:dyDescent="0.3">
      <c r="A14" s="5">
        <f>ROUNDUP(Table1[[#This Row],[Step]]/4,0)</f>
        <v>2</v>
      </c>
      <c r="B14" s="5">
        <f t="shared" si="0"/>
        <v>5</v>
      </c>
      <c r="C14" s="8">
        <f t="shared" si="1"/>
        <v>1.1099999999999999E-2</v>
      </c>
      <c r="D14" s="5">
        <f t="shared" si="2"/>
        <v>0.95027582127912102</v>
      </c>
      <c r="E14" s="5">
        <f t="shared" si="3"/>
        <v>1.0548061616198243E-2</v>
      </c>
      <c r="F14" s="5">
        <f t="shared" si="4"/>
        <v>0.4</v>
      </c>
      <c r="G14" s="5">
        <f t="shared" si="8"/>
        <v>9.7429909203090581E-3</v>
      </c>
      <c r="H14" s="5">
        <f t="shared" si="5"/>
        <v>3.8971963681236235E-3</v>
      </c>
      <c r="I14" s="9">
        <f>VLOOKUP(A14,Boostrapping!A:E,4,0)</f>
        <v>2.8027245921548705E-2</v>
      </c>
      <c r="J14" s="5">
        <f t="shared" si="6"/>
        <v>0.9656905002474151</v>
      </c>
      <c r="K14" s="5">
        <f t="shared" si="7"/>
        <v>1.3949648409082751E-2</v>
      </c>
      <c r="O14" s="5">
        <v>5</v>
      </c>
    </row>
    <row r="15" spans="1:20" x14ac:dyDescent="0.3">
      <c r="A15" s="5">
        <f>ROUNDUP(Table1[[#This Row],[Step]]/4,0)</f>
        <v>2</v>
      </c>
      <c r="B15" s="5">
        <f t="shared" si="0"/>
        <v>6</v>
      </c>
      <c r="C15" s="8">
        <f t="shared" si="1"/>
        <v>1.1099999999999999E-2</v>
      </c>
      <c r="D15" s="5">
        <f t="shared" si="2"/>
        <v>0.94063170953791453</v>
      </c>
      <c r="E15" s="5">
        <f t="shared" si="3"/>
        <v>1.0441011975870849E-2</v>
      </c>
      <c r="F15" s="5">
        <f t="shared" si="4"/>
        <v>0.4</v>
      </c>
      <c r="G15" s="5">
        <f t="shared" si="8"/>
        <v>9.6441117412064958E-3</v>
      </c>
      <c r="H15" s="5">
        <f t="shared" si="5"/>
        <v>3.8576446964825985E-3</v>
      </c>
      <c r="I15" s="9">
        <f>VLOOKUP(A15,Boostrapping!A:E,4,0)</f>
        <v>2.8027245921548705E-2</v>
      </c>
      <c r="J15" s="5">
        <f t="shared" si="6"/>
        <v>0.95897117004379184</v>
      </c>
      <c r="K15" s="5">
        <f t="shared" si="7"/>
        <v>1.3711999519141257E-2</v>
      </c>
      <c r="O15" s="5">
        <v>6</v>
      </c>
    </row>
    <row r="16" spans="1:20" x14ac:dyDescent="0.3">
      <c r="A16" s="5">
        <f>ROUNDUP(Table1[[#This Row],[Step]]/4,0)</f>
        <v>2</v>
      </c>
      <c r="B16" s="5">
        <f t="shared" si="0"/>
        <v>7</v>
      </c>
      <c r="C16" s="8">
        <f t="shared" si="1"/>
        <v>1.1099999999999999E-2</v>
      </c>
      <c r="D16" s="5">
        <f t="shared" si="2"/>
        <v>0.93108547347574167</v>
      </c>
      <c r="E16" s="5">
        <f t="shared" si="3"/>
        <v>1.0335048755580731E-2</v>
      </c>
      <c r="F16" s="5">
        <f t="shared" si="4"/>
        <v>0.4</v>
      </c>
      <c r="G16" s="5">
        <f t="shared" si="8"/>
        <v>9.5462360621728637E-3</v>
      </c>
      <c r="H16" s="5">
        <f t="shared" si="5"/>
        <v>3.8184944248691455E-3</v>
      </c>
      <c r="I16" s="9">
        <f>VLOOKUP(A16,Boostrapping!A:E,4,0)</f>
        <v>2.8027245921548705E-2</v>
      </c>
      <c r="J16" s="5">
        <f t="shared" si="6"/>
        <v>0.95229859332730948</v>
      </c>
      <c r="K16" s="5">
        <f t="shared" si="7"/>
        <v>1.3478399261339752E-2</v>
      </c>
      <c r="O16" s="5">
        <v>7</v>
      </c>
    </row>
    <row r="17" spans="1:15" x14ac:dyDescent="0.3">
      <c r="A17" s="5">
        <f>ROUNDUP(Table1[[#This Row],[Step]]/4,0)</f>
        <v>2</v>
      </c>
      <c r="B17" s="5">
        <f t="shared" si="0"/>
        <v>8</v>
      </c>
      <c r="C17" s="8">
        <v>0.02</v>
      </c>
      <c r="D17" s="5">
        <f t="shared" si="2"/>
        <v>0.9216361197768046</v>
      </c>
      <c r="E17" s="5">
        <f t="shared" si="3"/>
        <v>1.8432722395536092E-2</v>
      </c>
      <c r="F17" s="5">
        <f t="shared" si="4"/>
        <v>0.4</v>
      </c>
      <c r="G17" s="5">
        <f t="shared" si="8"/>
        <v>9.4493536989370686E-3</v>
      </c>
      <c r="H17" s="5">
        <f t="shared" si="5"/>
        <v>3.7797414795748274E-3</v>
      </c>
      <c r="I17" s="9">
        <f>VLOOKUP(A17,Boostrapping!A:E,4,0)</f>
        <v>2.8027245921548705E-2</v>
      </c>
      <c r="J17" s="5">
        <f>1/((1+I17/$H$3)^(B17))</f>
        <v>0.94567244478450752</v>
      </c>
      <c r="K17" s="5">
        <f t="shared" si="7"/>
        <v>2.1005715017463698E-2</v>
      </c>
      <c r="O17" s="5">
        <v>8</v>
      </c>
    </row>
    <row r="18" spans="1:15" x14ac:dyDescent="0.3">
      <c r="A18" s="5">
        <f>ROUNDUP(Table1[[#This Row],[Step]]/4,0)</f>
        <v>3</v>
      </c>
      <c r="B18" s="5">
        <f t="shared" si="0"/>
        <v>9</v>
      </c>
      <c r="C18" s="8">
        <f>$H$2/$H$3</f>
        <v>1.1099999999999999E-2</v>
      </c>
      <c r="D18" s="5">
        <f t="shared" ref="D18:D29" si="9">(1-$C$4)^(B18)</f>
        <v>0.9122826652062197</v>
      </c>
      <c r="E18" s="5">
        <f t="shared" ref="E18:E29" si="10">C18*D18</f>
        <v>1.0126337583789037E-2</v>
      </c>
      <c r="F18" s="5">
        <f t="shared" ref="F18:F29" si="11">$C$3</f>
        <v>0.4</v>
      </c>
      <c r="G18" s="5">
        <f t="shared" ref="G18:G29" si="12">D17-D18</f>
        <v>9.3534545705848959E-3</v>
      </c>
      <c r="H18" s="5">
        <f t="shared" ref="H18:H29" si="13">G18*F18</f>
        <v>3.7413818282339586E-3</v>
      </c>
      <c r="I18" s="9">
        <f>VLOOKUP(A18,Boostrapping!A:E,4,0)</f>
        <v>2.7545217050795046E-2</v>
      </c>
      <c r="J18" s="5">
        <f t="shared" ref="J18:J29" si="14">1/((1+I18/$H$3)^(B18))</f>
        <v>0.94010442669125216</v>
      </c>
      <c r="K18" s="5">
        <f t="shared" ref="K18:K29" si="15">J18*(E18+H18)</f>
        <v>1.3037104407355027E-2</v>
      </c>
      <c r="O18" s="5">
        <v>9</v>
      </c>
    </row>
    <row r="19" spans="1:15" x14ac:dyDescent="0.3">
      <c r="A19" s="5">
        <f>ROUNDUP(Table1[[#This Row],[Step]]/4,0)</f>
        <v>3</v>
      </c>
      <c r="B19" s="5">
        <f t="shared" si="0"/>
        <v>10</v>
      </c>
      <c r="C19" s="8">
        <f t="shared" si="1"/>
        <v>1.1099999999999999E-2</v>
      </c>
      <c r="D19" s="5">
        <f t="shared" si="9"/>
        <v>0.90302413650770808</v>
      </c>
      <c r="E19" s="5">
        <f t="shared" si="10"/>
        <v>1.0023567915235558E-2</v>
      </c>
      <c r="F19" s="5">
        <f t="shared" si="11"/>
        <v>0.4</v>
      </c>
      <c r="G19" s="5">
        <f t="shared" si="12"/>
        <v>9.2585286985116255E-3</v>
      </c>
      <c r="H19" s="5">
        <f t="shared" si="13"/>
        <v>3.7034114794046503E-3</v>
      </c>
      <c r="I19" s="9">
        <f>VLOOKUP(A19,Boostrapping!A:E,4,0)</f>
        <v>2.7545217050795046E-2</v>
      </c>
      <c r="J19" s="5">
        <f t="shared" si="14"/>
        <v>0.93367485753980095</v>
      </c>
      <c r="K19" s="5">
        <f t="shared" si="15"/>
        <v>1.281653553074248E-2</v>
      </c>
      <c r="O19" s="5">
        <v>10</v>
      </c>
    </row>
    <row r="20" spans="1:15" x14ac:dyDescent="0.3">
      <c r="A20" s="5">
        <f>ROUNDUP(Table1[[#This Row],[Step]]/4,0)</f>
        <v>3</v>
      </c>
      <c r="B20" s="5">
        <f t="shared" si="0"/>
        <v>11</v>
      </c>
      <c r="C20" s="8">
        <f t="shared" si="1"/>
        <v>1.1099999999999999E-2</v>
      </c>
      <c r="D20" s="5">
        <f t="shared" si="9"/>
        <v>0.89385957030232543</v>
      </c>
      <c r="E20" s="5">
        <f t="shared" si="10"/>
        <v>9.9218412303558115E-3</v>
      </c>
      <c r="F20" s="5">
        <f t="shared" si="11"/>
        <v>0.4</v>
      </c>
      <c r="G20" s="5">
        <f t="shared" si="12"/>
        <v>9.1645662053826404E-3</v>
      </c>
      <c r="H20" s="5">
        <f t="shared" si="13"/>
        <v>3.6658264821530563E-3</v>
      </c>
      <c r="I20" s="9">
        <f>VLOOKUP(A20,Boostrapping!A:E,4,0)</f>
        <v>2.7545217050795046E-2</v>
      </c>
      <c r="J20" s="5">
        <f t="shared" si="14"/>
        <v>0.92728926154526703</v>
      </c>
      <c r="K20" s="5">
        <f t="shared" si="15"/>
        <v>1.2599698359254815E-2</v>
      </c>
      <c r="O20" s="5">
        <v>11</v>
      </c>
    </row>
    <row r="21" spans="1:15" x14ac:dyDescent="0.3">
      <c r="A21" s="5">
        <f>ROUNDUP(Table1[[#This Row],[Step]]/4,0)</f>
        <v>3</v>
      </c>
      <c r="B21" s="5">
        <f t="shared" si="0"/>
        <v>12</v>
      </c>
      <c r="C21" s="8">
        <f t="shared" si="1"/>
        <v>1.1099999999999999E-2</v>
      </c>
      <c r="D21" s="5">
        <f t="shared" si="9"/>
        <v>0.88478801298821963</v>
      </c>
      <c r="E21" s="5">
        <f t="shared" si="10"/>
        <v>9.8211469441692369E-3</v>
      </c>
      <c r="F21" s="5">
        <f t="shared" si="11"/>
        <v>0.4</v>
      </c>
      <c r="G21" s="5">
        <f t="shared" si="12"/>
        <v>9.0715573141058048E-3</v>
      </c>
      <c r="H21" s="5">
        <f t="shared" si="13"/>
        <v>3.6286229256423221E-3</v>
      </c>
      <c r="I21" s="9">
        <f>VLOOKUP(A21,Boostrapping!A:E,4,0)</f>
        <v>2.7545217050795046E-2</v>
      </c>
      <c r="J21" s="5">
        <f t="shared" si="14"/>
        <v>0.92094733796610984</v>
      </c>
      <c r="K21" s="5">
        <f t="shared" si="15"/>
        <v>1.2386529757859747E-2</v>
      </c>
      <c r="O21" s="5">
        <v>12</v>
      </c>
    </row>
    <row r="22" spans="1:15" x14ac:dyDescent="0.3">
      <c r="A22" s="5">
        <f>ROUNDUP(Table1[[#This Row],[Step]]/4,0)</f>
        <v>4</v>
      </c>
      <c r="B22" s="5">
        <f t="shared" si="0"/>
        <v>13</v>
      </c>
      <c r="C22" s="8">
        <f t="shared" si="1"/>
        <v>1.1099999999999999E-2</v>
      </c>
      <c r="D22" s="5">
        <f t="shared" si="9"/>
        <v>0.87580852064140535</v>
      </c>
      <c r="E22" s="5">
        <f t="shared" si="10"/>
        <v>9.7214745791195985E-3</v>
      </c>
      <c r="F22" s="5">
        <f t="shared" si="11"/>
        <v>0.4</v>
      </c>
      <c r="G22" s="5">
        <f t="shared" si="12"/>
        <v>8.9794923468142773E-3</v>
      </c>
      <c r="H22" s="5">
        <f t="shared" si="13"/>
        <v>3.5917969387257113E-3</v>
      </c>
      <c r="I22" s="9">
        <f>VLOOKUP(A22,Boostrapping!A:E,4,0)</f>
        <v>2.7543502008186227E-2</v>
      </c>
      <c r="J22" s="5">
        <f t="shared" si="14"/>
        <v>0.91465385141575273</v>
      </c>
      <c r="K22" s="5">
        <f t="shared" si="15"/>
        <v>1.2177035068740856E-2</v>
      </c>
      <c r="O22" s="5">
        <v>13</v>
      </c>
    </row>
    <row r="23" spans="1:15" x14ac:dyDescent="0.3">
      <c r="A23" s="5">
        <f>ROUNDUP(Table1[[#This Row],[Step]]/4,0)</f>
        <v>4</v>
      </c>
      <c r="B23" s="5">
        <f t="shared" si="0"/>
        <v>14</v>
      </c>
      <c r="C23" s="8">
        <f t="shared" si="1"/>
        <v>1.1099999999999999E-2</v>
      </c>
      <c r="D23" s="5">
        <f t="shared" si="9"/>
        <v>0.86692015891754581</v>
      </c>
      <c r="E23" s="5">
        <f t="shared" si="10"/>
        <v>9.6228137639847583E-3</v>
      </c>
      <c r="F23" s="5">
        <f t="shared" si="11"/>
        <v>0.4</v>
      </c>
      <c r="G23" s="5">
        <f t="shared" si="12"/>
        <v>8.8883617238595392E-3</v>
      </c>
      <c r="H23" s="5">
        <f t="shared" si="13"/>
        <v>3.5553446895438159E-3</v>
      </c>
      <c r="I23" s="9">
        <f>VLOOKUP(A23,Boostrapping!A:E,4,0)</f>
        <v>2.7543502008186227E-2</v>
      </c>
      <c r="J23" s="5">
        <f t="shared" si="14"/>
        <v>0.90839873084891021</v>
      </c>
      <c r="K23" s="5">
        <f t="shared" si="15"/>
        <v>1.1971022414111195E-2</v>
      </c>
      <c r="O23" s="5">
        <v>14</v>
      </c>
    </row>
    <row r="24" spans="1:15" x14ac:dyDescent="0.3">
      <c r="A24" s="5">
        <f>ROUNDUP(Table1[[#This Row],[Step]]/4,0)</f>
        <v>4</v>
      </c>
      <c r="B24" s="5">
        <f t="shared" si="0"/>
        <v>15</v>
      </c>
      <c r="C24" s="8">
        <f t="shared" si="1"/>
        <v>1.1099999999999999E-2</v>
      </c>
      <c r="D24" s="5">
        <f t="shared" si="9"/>
        <v>0.85812200295473151</v>
      </c>
      <c r="E24" s="5">
        <f t="shared" si="10"/>
        <v>9.5251542327975183E-3</v>
      </c>
      <c r="F24" s="5">
        <f t="shared" si="11"/>
        <v>0.4</v>
      </c>
      <c r="G24" s="5">
        <f t="shared" si="12"/>
        <v>8.7981559628143025E-3</v>
      </c>
      <c r="H24" s="5">
        <f t="shared" si="13"/>
        <v>3.5192623851257212E-3</v>
      </c>
      <c r="I24" s="9">
        <f>VLOOKUP(A24,Boostrapping!A:E,4,0)</f>
        <v>2.7543502008186227E-2</v>
      </c>
      <c r="J24" s="5">
        <f t="shared" si="14"/>
        <v>0.90218638770354265</v>
      </c>
      <c r="K24" s="5">
        <f t="shared" si="15"/>
        <v>1.176849510822423E-2</v>
      </c>
      <c r="O24" s="5">
        <v>15</v>
      </c>
    </row>
    <row r="25" spans="1:15" x14ac:dyDescent="0.3">
      <c r="A25" s="5">
        <f>ROUNDUP(Table1[[#This Row],[Step]]/4,0)</f>
        <v>4</v>
      </c>
      <c r="B25" s="5">
        <f t="shared" si="0"/>
        <v>16</v>
      </c>
      <c r="C25" s="8">
        <v>0.02</v>
      </c>
      <c r="D25" s="5">
        <f t="shared" si="9"/>
        <v>0.84941313727724455</v>
      </c>
      <c r="E25" s="5">
        <f t="shared" si="10"/>
        <v>1.698826274554489E-2</v>
      </c>
      <c r="F25" s="5">
        <f t="shared" si="11"/>
        <v>0.4</v>
      </c>
      <c r="G25" s="5">
        <f t="shared" si="12"/>
        <v>8.7088656774869655E-3</v>
      </c>
      <c r="H25" s="5">
        <f t="shared" si="13"/>
        <v>3.4835462709947862E-3</v>
      </c>
      <c r="I25" s="9">
        <f>VLOOKUP(A25,Boostrapping!A:E,4,0)</f>
        <v>2.7543502008186227E-2</v>
      </c>
      <c r="J25" s="5">
        <f t="shared" si="14"/>
        <v>0.89601652943408394</v>
      </c>
      <c r="K25" s="5">
        <f t="shared" si="15"/>
        <v>1.8343079266237267E-2</v>
      </c>
      <c r="O25" s="5">
        <v>16</v>
      </c>
    </row>
    <row r="26" spans="1:15" x14ac:dyDescent="0.3">
      <c r="A26" s="5">
        <f>ROUNDUP(Table1[[#This Row],[Step]]/4,0)</f>
        <v>5</v>
      </c>
      <c r="B26" s="5">
        <f t="shared" si="0"/>
        <v>17</v>
      </c>
      <c r="C26" s="8">
        <f t="shared" si="1"/>
        <v>1.1099999999999999E-2</v>
      </c>
      <c r="D26" s="5">
        <f t="shared" si="9"/>
        <v>0.84079265570030204</v>
      </c>
      <c r="E26" s="5">
        <f t="shared" si="10"/>
        <v>9.3327984782733513E-3</v>
      </c>
      <c r="F26" s="5">
        <f t="shared" si="11"/>
        <v>0.4</v>
      </c>
      <c r="G26" s="5">
        <f t="shared" si="12"/>
        <v>8.6204815769425069E-3</v>
      </c>
      <c r="H26" s="5">
        <f t="shared" si="13"/>
        <v>3.4481926307770028E-3</v>
      </c>
      <c r="I26" s="9">
        <f>VLOOKUP(A26,Boostrapping!A:E,4,0)</f>
        <v>2.7601597234041986E-2</v>
      </c>
      <c r="J26" s="5">
        <f t="shared" si="14"/>
        <v>0.8896706786719828</v>
      </c>
      <c r="K26" s="5">
        <f t="shared" si="15"/>
        <v>1.1370873034089407E-2</v>
      </c>
      <c r="O26" s="5">
        <v>17</v>
      </c>
    </row>
    <row r="27" spans="1:15" x14ac:dyDescent="0.3">
      <c r="A27" s="5">
        <f>ROUNDUP(Table1[[#This Row],[Step]]/4,0)</f>
        <v>5</v>
      </c>
      <c r="B27" s="5">
        <f t="shared" si="0"/>
        <v>18</v>
      </c>
      <c r="C27" s="8">
        <v>0.02</v>
      </c>
      <c r="D27" s="5">
        <f t="shared" si="9"/>
        <v>0.83225966123576356</v>
      </c>
      <c r="E27" s="5">
        <f t="shared" si="10"/>
        <v>1.664519322471527E-2</v>
      </c>
      <c r="F27" s="5">
        <f t="shared" si="11"/>
        <v>0.4</v>
      </c>
      <c r="G27" s="5">
        <f t="shared" si="12"/>
        <v>8.5329944645384792E-3</v>
      </c>
      <c r="H27" s="5">
        <f t="shared" si="13"/>
        <v>3.4131977858153917E-3</v>
      </c>
      <c r="I27" s="9">
        <f>VLOOKUP(A27,Boostrapping!A:E,4,0)</f>
        <v>2.7601597234041986E-2</v>
      </c>
      <c r="J27" s="5">
        <f t="shared" si="14"/>
        <v>0.8835736675474205</v>
      </c>
      <c r="K27" s="5">
        <f t="shared" si="15"/>
        <v>1.7723066110274788E-2</v>
      </c>
      <c r="O27" s="5">
        <v>18</v>
      </c>
    </row>
    <row r="28" spans="1:15" x14ac:dyDescent="0.3">
      <c r="A28" s="5">
        <f>ROUNDUP(Table1[[#This Row],[Step]]/4,0)</f>
        <v>5</v>
      </c>
      <c r="B28" s="5">
        <f t="shared" si="0"/>
        <v>19</v>
      </c>
      <c r="C28" s="8">
        <v>0.02</v>
      </c>
      <c r="D28" s="5">
        <f t="shared" si="9"/>
        <v>0.82381326599879712</v>
      </c>
      <c r="E28" s="5">
        <f t="shared" si="10"/>
        <v>1.6476265319975942E-2</v>
      </c>
      <c r="F28" s="5">
        <f t="shared" si="11"/>
        <v>0.4</v>
      </c>
      <c r="G28" s="5">
        <f t="shared" si="12"/>
        <v>8.4463952369664419E-3</v>
      </c>
      <c r="H28" s="5">
        <f t="shared" si="13"/>
        <v>3.3785580947865768E-3</v>
      </c>
      <c r="I28" s="9">
        <f>VLOOKUP(A28,Boostrapping!A:E,4,0)</f>
        <v>2.7601597234041986E-2</v>
      </c>
      <c r="J28" s="5">
        <f t="shared" si="14"/>
        <v>0.87751843991145029</v>
      </c>
      <c r="K28" s="5">
        <f t="shared" si="15"/>
        <v>1.742297366763974E-2</v>
      </c>
      <c r="O28" s="5">
        <v>19</v>
      </c>
    </row>
    <row r="29" spans="1:15" x14ac:dyDescent="0.3">
      <c r="A29" s="5">
        <f>ROUNDUP(Table1[[#This Row],[Step]]/4,0)</f>
        <v>5</v>
      </c>
      <c r="B29" s="5">
        <f t="shared" si="0"/>
        <v>20</v>
      </c>
      <c r="C29" s="8">
        <f>1+C28</f>
        <v>1.02</v>
      </c>
      <c r="D29" s="5">
        <f t="shared" si="9"/>
        <v>0.81545259111549173</v>
      </c>
      <c r="E29" s="5">
        <f t="shared" si="10"/>
        <v>0.83176164293780153</v>
      </c>
      <c r="F29" s="5">
        <f t="shared" si="11"/>
        <v>0.4</v>
      </c>
      <c r="G29" s="5">
        <f t="shared" si="12"/>
        <v>8.3606748833053857E-3</v>
      </c>
      <c r="H29" s="5">
        <f t="shared" si="13"/>
        <v>3.3442699533221543E-3</v>
      </c>
      <c r="I29" s="9">
        <f>VLOOKUP(A29,Boostrapping!A:E,4,0)</f>
        <v>2.7601597234041986E-2</v>
      </c>
      <c r="J29" s="5">
        <f t="shared" si="14"/>
        <v>0.87150470941722391</v>
      </c>
      <c r="K29" s="5">
        <f t="shared" si="15"/>
        <v>0.72779873594678424</v>
      </c>
      <c r="O29" s="5">
        <v>20</v>
      </c>
    </row>
    <row r="33" spans="17:18" x14ac:dyDescent="0.3">
      <c r="Q33" s="10"/>
      <c r="R33" s="10"/>
    </row>
    <row r="34" spans="17:18" x14ac:dyDescent="0.3">
      <c r="Q34" s="10"/>
      <c r="R34" s="10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13AB-A5CA-4EF2-B1A2-0AD1AFE1F264}">
  <sheetPr codeName="Sheet3"/>
  <dimension ref="A1:K23"/>
  <sheetViews>
    <sheetView workbookViewId="0">
      <selection activeCell="G17" sqref="G17"/>
    </sheetView>
  </sheetViews>
  <sheetFormatPr defaultRowHeight="15" x14ac:dyDescent="0.25"/>
  <cols>
    <col min="1" max="1" width="14.5703125" bestFit="1" customWidth="1"/>
    <col min="2" max="2" width="13.7109375" bestFit="1" customWidth="1"/>
    <col min="3" max="5" width="15.5703125" bestFit="1" customWidth="1"/>
    <col min="9" max="9" width="12.42578125" bestFit="1" customWidth="1"/>
    <col min="10" max="10" width="14.85546875" bestFit="1" customWidth="1"/>
  </cols>
  <sheetData>
    <row r="1" spans="1:11" ht="17.25" x14ac:dyDescent="0.3">
      <c r="A1" s="5" t="s">
        <v>29</v>
      </c>
      <c r="B1" s="15">
        <v>45625</v>
      </c>
      <c r="C1" s="5"/>
      <c r="I1" s="5" t="s">
        <v>20</v>
      </c>
      <c r="J1" s="5">
        <v>7.0000000000000001E-3</v>
      </c>
    </row>
    <row r="3" spans="1:11" ht="17.25" x14ac:dyDescent="0.3">
      <c r="A3" s="5" t="s">
        <v>16</v>
      </c>
      <c r="B3" s="5" t="s">
        <v>15</v>
      </c>
      <c r="C3" s="5" t="s">
        <v>17</v>
      </c>
      <c r="D3" s="5" t="s">
        <v>18</v>
      </c>
      <c r="E3" s="5" t="s">
        <v>19</v>
      </c>
      <c r="F3" s="5"/>
      <c r="G3" s="5"/>
      <c r="H3" s="5"/>
      <c r="I3" s="5" t="s">
        <v>23</v>
      </c>
      <c r="J3" s="5" t="s">
        <v>24</v>
      </c>
      <c r="K3" s="5"/>
    </row>
    <row r="4" spans="1:11" ht="17.25" x14ac:dyDescent="0.3">
      <c r="A4" s="5">
        <v>1</v>
      </c>
      <c r="B4" s="5">
        <f>J4</f>
        <v>3.04E-2</v>
      </c>
      <c r="C4" s="5">
        <f>1/(1+B4)</f>
        <v>0.97049689440993792</v>
      </c>
      <c r="D4" s="5">
        <f>B4</f>
        <v>3.04E-2</v>
      </c>
      <c r="E4" s="5">
        <f>1/(1+D4)^(A4)</f>
        <v>0.97049689440993792</v>
      </c>
      <c r="F4" s="5"/>
      <c r="G4" s="5"/>
      <c r="H4" s="5"/>
      <c r="I4" s="5">
        <v>2.3400000000000001E-2</v>
      </c>
      <c r="J4" s="5">
        <f>I4+$J$1</f>
        <v>3.04E-2</v>
      </c>
      <c r="K4" s="5"/>
    </row>
    <row r="5" spans="1:11" ht="17.25" x14ac:dyDescent="0.3">
      <c r="A5" s="5">
        <v>2</v>
      </c>
      <c r="B5" s="5">
        <f t="shared" ref="B5:B13" si="0">J5</f>
        <v>2.8059999999999998E-2</v>
      </c>
      <c r="C5" s="5">
        <f>SUM($E$4:E5)</f>
        <v>1.9167139023110891</v>
      </c>
      <c r="D5" s="5">
        <f>((1+B5)/(1-C4*B5))^(1/A5)-1</f>
        <v>2.8027245921548705E-2</v>
      </c>
      <c r="E5" s="5">
        <f t="shared" ref="E5:E13" si="1">1/(1+D5)^(A5)</f>
        <v>0.94621700790115104</v>
      </c>
      <c r="F5" s="5"/>
      <c r="G5" s="5"/>
      <c r="H5" s="5"/>
      <c r="I5" s="5">
        <v>2.1059999999999999E-2</v>
      </c>
      <c r="J5" s="5">
        <f t="shared" ref="J5:J13" si="2">I5+$J$1</f>
        <v>2.8059999999999998E-2</v>
      </c>
      <c r="K5" s="5"/>
    </row>
    <row r="6" spans="1:11" ht="17.25" x14ac:dyDescent="0.3">
      <c r="A6" s="5">
        <v>3</v>
      </c>
      <c r="B6" s="5">
        <f t="shared" si="0"/>
        <v>2.758E-2</v>
      </c>
      <c r="C6" s="5">
        <f>SUM($E$4:E6)</f>
        <v>2.8384300028329563</v>
      </c>
      <c r="D6" s="5">
        <f t="shared" ref="D6:D13" si="3">((1+B6)/(1-C5*B6))^(1/A6)-1</f>
        <v>2.7545217050795046E-2</v>
      </c>
      <c r="E6" s="5">
        <f t="shared" si="1"/>
        <v>0.92171610052186725</v>
      </c>
      <c r="F6" s="5"/>
      <c r="G6" s="5"/>
      <c r="H6" s="5"/>
      <c r="I6" s="5">
        <v>2.0580000000000001E-2</v>
      </c>
      <c r="J6" s="5">
        <f t="shared" si="2"/>
        <v>2.758E-2</v>
      </c>
      <c r="K6" s="5"/>
    </row>
    <row r="7" spans="1:11" ht="17.25" x14ac:dyDescent="0.3">
      <c r="A7" s="5">
        <v>4</v>
      </c>
      <c r="B7" s="5">
        <f t="shared" si="0"/>
        <v>2.7570000000000001E-2</v>
      </c>
      <c r="C7" s="5">
        <f>SUM($E$4:E7)</f>
        <v>3.735443816803679</v>
      </c>
      <c r="D7" s="5">
        <f>((1+B7)/(1-C6*B7))^(1/A7)-1</f>
        <v>2.7543502008186227E-2</v>
      </c>
      <c r="E7" s="5">
        <f t="shared" si="1"/>
        <v>0.89701381397072277</v>
      </c>
      <c r="F7" s="5"/>
      <c r="G7" s="5"/>
      <c r="H7" s="5"/>
      <c r="I7" s="5">
        <v>2.0570000000000001E-2</v>
      </c>
      <c r="J7" s="5">
        <f t="shared" si="2"/>
        <v>2.7570000000000001E-2</v>
      </c>
      <c r="K7" s="5"/>
    </row>
    <row r="8" spans="1:11" ht="17.25" x14ac:dyDescent="0.3">
      <c r="A8" s="5">
        <v>5</v>
      </c>
      <c r="B8" s="5">
        <f t="shared" si="0"/>
        <v>2.7619999999999999E-2</v>
      </c>
      <c r="C8" s="5">
        <f>SUM($E$4:E8)</f>
        <v>4.608166264576087</v>
      </c>
      <c r="D8" s="5">
        <f t="shared" si="3"/>
        <v>2.7601597234041986E-2</v>
      </c>
      <c r="E8" s="5">
        <f t="shared" si="1"/>
        <v>0.87272244777240793</v>
      </c>
      <c r="F8" s="5"/>
      <c r="G8" s="5"/>
      <c r="H8" s="5"/>
      <c r="I8" s="5">
        <v>2.0619999999999999E-2</v>
      </c>
      <c r="J8" s="5">
        <f t="shared" si="2"/>
        <v>2.7619999999999999E-2</v>
      </c>
      <c r="K8" s="5"/>
    </row>
    <row r="9" spans="1:11" ht="17.25" x14ac:dyDescent="0.3">
      <c r="A9" s="5">
        <v>6</v>
      </c>
      <c r="B9" s="5">
        <f t="shared" si="0"/>
        <v>2.775E-2</v>
      </c>
      <c r="C9" s="5">
        <f>SUM($E$4:E9)</f>
        <v>5.4567416828762711</v>
      </c>
      <c r="D9" s="5">
        <f t="shared" si="3"/>
        <v>2.774394198250496E-2</v>
      </c>
      <c r="E9" s="5">
        <f t="shared" si="1"/>
        <v>0.8485754183001839</v>
      </c>
      <c r="F9" s="5"/>
      <c r="G9" s="5"/>
      <c r="H9" s="5"/>
      <c r="I9" s="5">
        <v>2.0750000000000001E-2</v>
      </c>
      <c r="J9" s="5">
        <f t="shared" si="2"/>
        <v>2.775E-2</v>
      </c>
      <c r="K9" s="5"/>
    </row>
    <row r="10" spans="1:11" ht="17.25" x14ac:dyDescent="0.3">
      <c r="A10" s="5">
        <v>7</v>
      </c>
      <c r="B10" s="5">
        <f t="shared" si="0"/>
        <v>2.793E-2</v>
      </c>
      <c r="C10" s="5">
        <f>SUM($E$4:E10)</f>
        <v>6.2813048387305273</v>
      </c>
      <c r="D10" s="5">
        <f t="shared" si="3"/>
        <v>2.7940579162955226E-2</v>
      </c>
      <c r="E10" s="5">
        <f t="shared" si="1"/>
        <v>0.82456315585425588</v>
      </c>
      <c r="F10" s="5"/>
      <c r="G10" s="5"/>
      <c r="H10" s="5"/>
      <c r="I10" s="5">
        <v>2.0930000000000001E-2</v>
      </c>
      <c r="J10" s="5">
        <f t="shared" si="2"/>
        <v>2.793E-2</v>
      </c>
      <c r="K10" s="5"/>
    </row>
    <row r="11" spans="1:11" ht="17.25" x14ac:dyDescent="0.3">
      <c r="A11" s="5">
        <v>8</v>
      </c>
      <c r="B11" s="5">
        <f t="shared" si="0"/>
        <v>2.809E-2</v>
      </c>
      <c r="C11" s="5">
        <f>SUM($E$4:E11)</f>
        <v>7.082361309545397</v>
      </c>
      <c r="D11" s="5">
        <f t="shared" si="3"/>
        <v>2.8115977501554701E-2</v>
      </c>
      <c r="E11" s="5">
        <f t="shared" si="1"/>
        <v>0.80105647081486986</v>
      </c>
      <c r="F11" s="5"/>
      <c r="G11" s="5"/>
      <c r="H11" s="5"/>
      <c r="I11" s="5">
        <v>2.1090000000000001E-2</v>
      </c>
      <c r="J11" s="5">
        <f t="shared" si="2"/>
        <v>2.809E-2</v>
      </c>
      <c r="K11" s="5"/>
    </row>
    <row r="12" spans="1:11" ht="17.25" x14ac:dyDescent="0.3">
      <c r="A12" s="5">
        <v>9</v>
      </c>
      <c r="B12" s="5">
        <f t="shared" si="0"/>
        <v>2.828E-2</v>
      </c>
      <c r="C12" s="5">
        <f>SUM($E$4:E12)</f>
        <v>7.8600782953528192</v>
      </c>
      <c r="D12" s="5">
        <f t="shared" si="3"/>
        <v>2.8326280617585464E-2</v>
      </c>
      <c r="E12" s="5">
        <f t="shared" si="1"/>
        <v>0.77771698580742255</v>
      </c>
      <c r="F12" s="5"/>
      <c r="G12" s="5"/>
      <c r="H12" s="5"/>
      <c r="I12" s="5">
        <v>2.128E-2</v>
      </c>
      <c r="J12" s="5">
        <f t="shared" si="2"/>
        <v>2.828E-2</v>
      </c>
      <c r="K12" s="5"/>
    </row>
    <row r="13" spans="1:11" ht="17.25" x14ac:dyDescent="0.3">
      <c r="A13" s="5">
        <v>10</v>
      </c>
      <c r="B13" s="5">
        <f t="shared" si="0"/>
        <v>2.8479999999999998E-2</v>
      </c>
      <c r="C13" s="5">
        <f>SUM($E$4:E13)</f>
        <v>8.6147307632164161</v>
      </c>
      <c r="D13" s="5">
        <f t="shared" si="3"/>
        <v>2.8549743789161752E-2</v>
      </c>
      <c r="E13" s="5">
        <f t="shared" si="1"/>
        <v>0.75465246786359741</v>
      </c>
      <c r="F13" s="5"/>
      <c r="G13" s="5"/>
      <c r="H13" s="5"/>
      <c r="I13" s="5">
        <v>2.1479999999999999E-2</v>
      </c>
      <c r="J13" s="5">
        <f t="shared" si="2"/>
        <v>2.8479999999999998E-2</v>
      </c>
      <c r="K13" s="5"/>
    </row>
    <row r="14" spans="1:11" ht="17.25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B15" s="1"/>
    </row>
    <row r="16" spans="1:11" x14ac:dyDescent="0.25">
      <c r="B16" s="1"/>
      <c r="F16" s="1"/>
      <c r="G16" s="2"/>
      <c r="I16" s="3"/>
    </row>
    <row r="17" spans="2:9" x14ac:dyDescent="0.25">
      <c r="B17" s="1"/>
      <c r="F17" s="1"/>
      <c r="G17" s="2"/>
      <c r="I17" s="3"/>
    </row>
    <row r="18" spans="2:9" x14ac:dyDescent="0.25">
      <c r="B18" s="1"/>
      <c r="F18" s="1"/>
      <c r="G18" s="2"/>
      <c r="I18" s="3"/>
    </row>
    <row r="19" spans="2:9" x14ac:dyDescent="0.25">
      <c r="B19" s="1"/>
      <c r="F19" s="1"/>
      <c r="G19" s="2"/>
      <c r="I19" s="3"/>
    </row>
    <row r="20" spans="2:9" x14ac:dyDescent="0.25">
      <c r="B20" s="1"/>
      <c r="F20" s="1"/>
      <c r="G20" s="2"/>
      <c r="I20" s="3"/>
    </row>
    <row r="21" spans="2:9" x14ac:dyDescent="0.25">
      <c r="B21" s="1"/>
      <c r="F21" s="1"/>
      <c r="G21" s="2"/>
      <c r="I21" s="3"/>
    </row>
    <row r="22" spans="2:9" x14ac:dyDescent="0.25">
      <c r="B22" s="1"/>
      <c r="F22" s="1"/>
      <c r="G22" s="2"/>
      <c r="I22" s="3"/>
    </row>
    <row r="23" spans="2:9" x14ac:dyDescent="0.25">
      <c r="B23" s="1"/>
      <c r="F23" s="1"/>
      <c r="G23" s="2"/>
      <c r="I23" s="3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860db96-b53f-4bd7-8137-e09357cab268}" enabled="1" method="Standard" siteId="{b78d03e6-f6a2-4cff-83be-847d1a6453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Pricing Bond</vt:lpstr>
      <vt:lpstr>Boostrapping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AWLIME, Nicolas</dc:creator>
  <cp:lastModifiedBy>AWLIME, Nicolas</cp:lastModifiedBy>
  <dcterms:created xsi:type="dcterms:W3CDTF">2024-11-30T17:03:55Z</dcterms:created>
  <dcterms:modified xsi:type="dcterms:W3CDTF">2024-11-30T20:38:36Z</dcterms:modified>
</cp:coreProperties>
</file>